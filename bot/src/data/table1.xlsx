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Новая папка\hackathonMiran\bot\src\data\"/>
    </mc:Choice>
  </mc:AlternateContent>
  <xr:revisionPtr revIDLastSave="0" documentId="13_ncr:1_{DE60140C-8640-4201-911C-3CCB005E517B}" xr6:coauthVersionLast="47" xr6:coauthVersionMax="47" xr10:uidLastSave="{00000000-0000-0000-0000-000000000000}"/>
  <bookViews>
    <workbookView xWindow="-108" yWindow="-108" windowWidth="23256" windowHeight="14616" xr2:uid="{722ABB53-3B03-4FE4-955B-D2E70769122A}"/>
  </bookViews>
  <sheets>
    <sheet name="Лист1" sheetId="1" r:id="rId1"/>
  </sheets>
  <definedNames>
    <definedName name="_Hlk118207034" localSheetId="0">Лист1!$A$30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1" l="1"/>
  <c r="C40" i="1"/>
  <c r="C28" i="1"/>
  <c r="C20" i="1"/>
  <c r="C11" i="1"/>
</calcChain>
</file>

<file path=xl/sharedStrings.xml><?xml version="1.0" encoding="utf-8"?>
<sst xmlns="http://schemas.openxmlformats.org/spreadsheetml/2006/main" count="52" uniqueCount="46">
  <si>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</si>
  <si>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</si>
  <si>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</si>
  <si>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 и фото несоответствия</t>
  </si>
  <si>
    <t>соответствует</t>
  </si>
  <si>
    <t>не соответствует</t>
  </si>
  <si>
    <t>А</t>
  </si>
  <si>
    <t>Состояние рабочего пространства укладчика-упаковщика (оператора ЦП, наладчика участка производства СКПГ, дробильщика, подсобного рабочего)</t>
  </si>
  <si>
    <t>На полу отсутствует пыль, грязь. Под оборудованием и вокруг него отсутствует россыпи сырья и/или красителя, мусор, литники, продукция, пакеты из-под материала, другие предметы</t>
  </si>
  <si>
    <t>На оборудовании и в рабочей зоне отсутствуют посторонние предметы, непредназначенные для выполнения профессиональных обязанностей</t>
  </si>
  <si>
    <t>Уборочный инвентарь имеется в наличии и размещен аккуратно в установленном месте</t>
  </si>
  <si>
    <t>Тара, упаковочные материалы, поддоны, готовая продукция, несоответствующая продукция находятся в зонах разметки согласно стандарту идеального рабочего места, размещенному на оборудовании</t>
  </si>
  <si>
    <t>Проходы вокруг оборудования свободные и нет загромождений продукцией, тарой, поддонами и другими предметами</t>
  </si>
  <si>
    <t>Общий балл за раздел А</t>
  </si>
  <si>
    <t>В</t>
  </si>
  <si>
    <t>Состояние оборудования</t>
  </si>
  <si>
    <t>В1</t>
  </si>
  <si>
    <t>Ответственность наладчика производственного участка</t>
  </si>
  <si>
    <t>На оборудовании отсутствуют крепления скотчем, картона на конвейерной ленте и других элементах оборудования</t>
  </si>
  <si>
    <t>Общий балл за раздел В1</t>
  </si>
  <si>
    <t>В2</t>
  </si>
  <si>
    <t>Ответственность персонала ЭМО</t>
  </si>
  <si>
    <t>Течь масла, охлаждающих жидкостей с оборудования отсутствует. Пол около оборудования чистый и сухой</t>
  </si>
  <si>
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</si>
  <si>
    <t>Отсутствуют вещи, оставшиеся после работы вспомогательных служб на производственном участке</t>
  </si>
  <si>
    <t>Панель управления в технически исправном состоянии, все надписи читаемы, видимые повреждения отсутствуют</t>
  </si>
  <si>
    <t>Общий балл за раздел В2</t>
  </si>
  <si>
    <t>Чек-лист оценки состояния производственного участка</t>
  </si>
  <si>
    <t>С</t>
  </si>
  <si>
    <t>Состояние производственного участка и вспомогательных помещений (кладовых, складов)</t>
  </si>
  <si>
    <t>В маркировочных ярлыках (этикетках) для идентификации изготавливаемой продукции, размещенных на оборудовании в ячейках с надписью «Для маркировочных ярлыков», указана дата, соответствующая дню проведения проверки</t>
  </si>
  <si>
    <t>Электроштабелеры, гидротележеки размещены в установленных местах, идентифицированы наименованием участка и имеют отметку о последних испытаниях</t>
  </si>
  <si>
    <t>Место размещения на участке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</t>
  </si>
  <si>
    <t>Общая оценка за раздел С</t>
  </si>
  <si>
    <t>Итоговая оценка структурному подразделению*</t>
  </si>
  <si>
    <t>Личные вещи отсутствуют в рабочей зоне работника (на оборудовании, стуле, стойке и т.д.), в том числе спецодежда. Работник при выполнении своих обязанностей применяет головной убор и перчатки согласно идентификационному фото на оборудовании. Волосы работника полностью убраны под головной убор.</t>
  </si>
  <si>
    <t>Отсутствие пыли и грязи на оборудовании (станине, конвейерной ленте, шлангах и других элементах оборудования) Пол около оборудования чистый и сухой, нет разливов масла и других жидкостей</t>
  </si>
  <si>
    <t>Тумбочки и шкафы с инструментами наладчиков идентифицированы и чистые. Внутри тумбочек все инструменты и предметы хранятся аккуратно, посторонние предметы отсутствуют</t>
  </si>
  <si>
    <t>На оборудовании имеются все защитные экраны. Защитные стекла чистые на оборудовании, находящемся в простое или наладке. На оборудовании имеются таблички, обозначающие в каком состоянии находится оборудование: «В работе», «Простой», «Наладка».</t>
  </si>
  <si>
    <t>Внутри оборудования отсутствуют посторонние предметы, в том числе остатки продукции от прошлых производственных партий и текущей производственной партии. Дополнительный критерий для Отделения раздува пластмасс УПП: Продукция не падает на конвейерной ленте оборудования и с конвейерной ленты на пол либо внутрь оборудования (конвейерная лента исправна).</t>
  </si>
  <si>
    <t>Внутри оборудования все элементы (провода, шланги, и др.) закреплены монтажными стяжками (применение скотча, целлофана, ленточек, ветоши и др. посторонних предметов исключено). Все элементы оборудования закреплены резьбовыми соединениями (винтами, болтами, саморезами, гайками). Провода, шланги вокруг оборудования закреплены, не выступают в рабочую зону и не препятствуют безопасному перемещению внутри рабочей зоны.</t>
  </si>
  <si>
    <t>На оборудовании имеются все защитные ограждения, предусмотренные конструкцией оборудования, в том числе закрывающие подвижные механизмы. Защитные стекла целые, не имеют трещин и сколов</t>
  </si>
  <si>
    <t>Пол, подоконники, колонны, стены, двери чистые (нет пыли, грязи и др.) и не имеют повреждений Уборочный инвентарь размещен аккуратно в установленном месте, в необходимом количестве и ассортименте</t>
  </si>
  <si>
    <t>Все отходы собираются раздельно. Контейнеры размещены в установленном месте, идентифицированы и используются по назначению</t>
  </si>
  <si>
    <t>Места и стеллажи, предназначенные для хранения сырья, основных и вспомогательных материалов (на участке, кладовых, складах) идентифицированы и в исправном состоянии. В местах хранения и на стеллажах хранятся вещи и ТМЦ, соответствующие идентификационным надписям Проходы и проезды без загромождений готовой продукцией, полуфабрикатами, несоответствующей продукцией, поддонами, тарой для упаковывания продукции, посторонними предметами и др.ТМЦ, все предметы размещены в установленных местах, имеющих соответствующую цветовую разметку</t>
  </si>
  <si>
    <t>Технологическая оснастка (пресс-формы) хранятся в специально отведенных местах.  Места для хранения (стеллажи, поддоны) технологической оснастки чистые, целые (без повреждений)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</si>
</sst>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3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1" fillId="0" borderId="4" xfId="0" applyFont="1" applyBorder="1" applyAlignment="1">
      <alignment vertical="center" wrapText="1"/>
    </xf>
    <xf numFmtId="0" fontId="12" fillId="0" borderId="0" xfId="0" applyFont="1" applyAlignment="1">
      <alignment horizontal="justify" vertical="center"/>
    </xf>
    <xf numFmtId="0" fontId="14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A1B0-B017-4A9F-807D-21C18853D55F}">
  <dimension ref="A1:E41"/>
  <sheetViews>
    <sheetView tabSelected="1" topLeftCell="B1" zoomScale="42" zoomScaleNormal="54" workbookViewId="0">
      <selection activeCell="C42" sqref="C42"/>
    </sheetView>
  </sheetViews>
  <sheetFormatPr defaultRowHeight="14.4" x14ac:dyDescent="0.3"/>
  <cols>
    <col min="1" max="1" width="24.33203125" customWidth="1"/>
    <col min="2" max="5" width="29.21875" customWidth="1"/>
  </cols>
  <sheetData>
    <row r="1" spans="1:5" ht="33.6" customHeight="1" thickBot="1" x14ac:dyDescent="0.35">
      <c r="A1" s="42" t="s">
        <v>0</v>
      </c>
      <c r="B1" s="42" t="s">
        <v>1</v>
      </c>
      <c r="C1" s="44" t="s">
        <v>2</v>
      </c>
      <c r="D1" s="45"/>
      <c r="E1" s="34" t="s">
        <v>3</v>
      </c>
    </row>
    <row r="2" spans="1:5" ht="33.6" customHeight="1" thickBot="1" x14ac:dyDescent="0.35">
      <c r="A2" s="43"/>
      <c r="B2" s="43"/>
      <c r="C2" s="1" t="s">
        <v>4</v>
      </c>
      <c r="D2" s="1" t="s">
        <v>5</v>
      </c>
      <c r="E2" s="35"/>
    </row>
    <row r="3" spans="1:5" ht="33.6" customHeight="1" thickBot="1" x14ac:dyDescent="0.35">
      <c r="A3" s="2" t="s">
        <v>6</v>
      </c>
      <c r="B3" s="36" t="s">
        <v>7</v>
      </c>
      <c r="C3" s="37"/>
      <c r="D3" s="37"/>
      <c r="E3" s="38"/>
    </row>
    <row r="4" spans="1:5" ht="111.6" customHeight="1" thickBot="1" x14ac:dyDescent="0.35">
      <c r="A4" s="3">
        <v>1</v>
      </c>
      <c r="B4" s="4" t="s">
        <v>8</v>
      </c>
      <c r="C4" s="5">
        <v>1</v>
      </c>
      <c r="D4" s="5"/>
      <c r="E4" s="6"/>
    </row>
    <row r="5" spans="1:5" ht="97.8" customHeight="1" x14ac:dyDescent="0.3">
      <c r="A5" s="46">
        <v>2</v>
      </c>
      <c r="B5" s="34" t="s">
        <v>35</v>
      </c>
      <c r="C5" s="48"/>
      <c r="D5" s="48">
        <v>0</v>
      </c>
      <c r="E5" s="46"/>
    </row>
    <row r="6" spans="1:5" ht="97.8" customHeight="1" thickBot="1" x14ac:dyDescent="0.35">
      <c r="A6" s="47"/>
      <c r="B6" s="35"/>
      <c r="C6" s="49"/>
      <c r="D6" s="49"/>
      <c r="E6" s="47"/>
    </row>
    <row r="7" spans="1:5" ht="97.8" customHeight="1" thickBot="1" x14ac:dyDescent="0.35">
      <c r="A7" s="3">
        <v>3</v>
      </c>
      <c r="B7" s="4" t="s">
        <v>9</v>
      </c>
      <c r="C7" s="5">
        <v>1</v>
      </c>
      <c r="D7" s="5"/>
      <c r="E7" s="8"/>
    </row>
    <row r="8" spans="1:5" ht="97.8" customHeight="1" thickBot="1" x14ac:dyDescent="0.35">
      <c r="A8" s="3">
        <v>4</v>
      </c>
      <c r="B8" s="4" t="s">
        <v>10</v>
      </c>
      <c r="C8" s="5">
        <v>1</v>
      </c>
      <c r="D8" s="5"/>
      <c r="E8" s="8"/>
    </row>
    <row r="9" spans="1:5" ht="97.8" customHeight="1" thickBot="1" x14ac:dyDescent="0.35">
      <c r="A9" s="3">
        <v>5</v>
      </c>
      <c r="B9" s="4" t="s">
        <v>11</v>
      </c>
      <c r="C9" s="5">
        <v>1</v>
      </c>
      <c r="D9" s="5"/>
      <c r="E9" s="8"/>
    </row>
    <row r="10" spans="1:5" ht="97.8" customHeight="1" thickBot="1" x14ac:dyDescent="0.35">
      <c r="A10" s="3">
        <v>6</v>
      </c>
      <c r="B10" s="4" t="s">
        <v>12</v>
      </c>
      <c r="C10" s="5"/>
      <c r="D10" s="5">
        <v>0</v>
      </c>
      <c r="E10" s="8"/>
    </row>
    <row r="11" spans="1:5" ht="33.6" customHeight="1" thickBot="1" x14ac:dyDescent="0.35">
      <c r="A11" s="9"/>
      <c r="B11" s="10" t="s">
        <v>13</v>
      </c>
      <c r="C11" s="11">
        <f>SUM(C4:C10)</f>
        <v>4</v>
      </c>
      <c r="D11" s="12"/>
      <c r="E11" s="12"/>
    </row>
    <row r="12" spans="1:5" ht="33.6" customHeight="1" thickBot="1" x14ac:dyDescent="0.35">
      <c r="A12" s="13" t="s">
        <v>14</v>
      </c>
      <c r="B12" s="14" t="s">
        <v>15</v>
      </c>
      <c r="C12" s="15"/>
      <c r="D12" s="15"/>
      <c r="E12" s="15"/>
    </row>
    <row r="13" spans="1:5" ht="43.2" customHeight="1" thickBot="1" x14ac:dyDescent="0.35">
      <c r="A13" s="16" t="s">
        <v>16</v>
      </c>
      <c r="B13" s="17" t="s">
        <v>17</v>
      </c>
      <c r="C13" s="8"/>
      <c r="D13" s="8"/>
      <c r="E13" s="8"/>
    </row>
    <row r="14" spans="1:5" ht="113.4" customHeight="1" thickBot="1" x14ac:dyDescent="0.35">
      <c r="A14" s="27">
        <v>1</v>
      </c>
      <c r="B14" s="30" t="s">
        <v>36</v>
      </c>
      <c r="C14" s="31">
        <v>1</v>
      </c>
      <c r="D14" s="31"/>
      <c r="E14" s="29"/>
    </row>
    <row r="15" spans="1:5" ht="123" customHeight="1" thickBot="1" x14ac:dyDescent="0.35">
      <c r="A15" s="27">
        <v>2</v>
      </c>
      <c r="B15" s="27" t="s">
        <v>37</v>
      </c>
      <c r="C15" s="32"/>
      <c r="D15" s="32">
        <v>0</v>
      </c>
      <c r="E15" s="32"/>
    </row>
    <row r="16" spans="1:5" ht="150" customHeight="1" x14ac:dyDescent="0.3">
      <c r="A16" s="27">
        <v>3</v>
      </c>
      <c r="B16" s="30" t="s">
        <v>38</v>
      </c>
      <c r="C16" s="31"/>
      <c r="D16" s="31"/>
      <c r="E16" s="32"/>
    </row>
    <row r="17" spans="1:5" ht="64.2" customHeight="1" thickBot="1" x14ac:dyDescent="0.35">
      <c r="A17" s="18">
        <v>4</v>
      </c>
      <c r="B17" s="19" t="s">
        <v>18</v>
      </c>
      <c r="C17" s="5">
        <v>1</v>
      </c>
      <c r="D17" s="5"/>
      <c r="E17" s="8"/>
    </row>
    <row r="18" spans="1:5" ht="222.6" customHeight="1" thickBot="1" x14ac:dyDescent="0.35">
      <c r="A18" s="27">
        <v>5</v>
      </c>
      <c r="B18" s="30" t="s">
        <v>39</v>
      </c>
      <c r="C18" s="31">
        <v>1</v>
      </c>
      <c r="D18" s="31"/>
      <c r="E18" s="32"/>
    </row>
    <row r="19" spans="1:5" ht="120" customHeight="1" x14ac:dyDescent="0.3">
      <c r="A19" s="27">
        <v>6</v>
      </c>
      <c r="B19" s="7" t="s">
        <v>45</v>
      </c>
      <c r="C19" s="32"/>
      <c r="D19" s="32">
        <v>0</v>
      </c>
      <c r="E19" s="32"/>
    </row>
    <row r="20" spans="1:5" ht="33.6" customHeight="1" thickBot="1" x14ac:dyDescent="0.35">
      <c r="A20" s="20"/>
      <c r="B20" s="21" t="s">
        <v>19</v>
      </c>
      <c r="C20" s="11">
        <f>SUM(C14:C19)</f>
        <v>3</v>
      </c>
      <c r="D20" s="12"/>
      <c r="E20" s="12"/>
    </row>
    <row r="21" spans="1:5" ht="33.6" customHeight="1" thickBot="1" x14ac:dyDescent="0.35">
      <c r="A21" s="16" t="s">
        <v>20</v>
      </c>
      <c r="B21" s="22" t="s">
        <v>21</v>
      </c>
      <c r="C21" s="8"/>
      <c r="D21" s="8"/>
      <c r="E21" s="8"/>
    </row>
    <row r="22" spans="1:5" ht="78.599999999999994" customHeight="1" thickBot="1" x14ac:dyDescent="0.35">
      <c r="A22" s="18">
        <v>1</v>
      </c>
      <c r="B22" s="4" t="s">
        <v>22</v>
      </c>
      <c r="C22" s="5">
        <v>1</v>
      </c>
      <c r="D22" s="5"/>
      <c r="E22" s="8"/>
    </row>
    <row r="23" spans="1:5" ht="257.39999999999998" customHeight="1" x14ac:dyDescent="0.3">
      <c r="A23" s="27">
        <v>2</v>
      </c>
      <c r="B23" s="30" t="s">
        <v>40</v>
      </c>
      <c r="C23" s="31">
        <v>1</v>
      </c>
      <c r="D23" s="31"/>
      <c r="E23" s="32"/>
    </row>
    <row r="24" spans="1:5" ht="91.8" customHeight="1" thickBot="1" x14ac:dyDescent="0.35">
      <c r="A24" s="18">
        <v>3</v>
      </c>
      <c r="B24" s="4" t="s">
        <v>23</v>
      </c>
      <c r="C24" s="5">
        <v>1</v>
      </c>
      <c r="D24" s="5"/>
      <c r="E24" s="8"/>
    </row>
    <row r="25" spans="1:5" ht="91.8" customHeight="1" thickBot="1" x14ac:dyDescent="0.35">
      <c r="A25" s="18">
        <v>4</v>
      </c>
      <c r="B25" s="4" t="s">
        <v>24</v>
      </c>
      <c r="C25" s="5">
        <v>1</v>
      </c>
      <c r="D25" s="5"/>
      <c r="E25" s="8"/>
    </row>
    <row r="26" spans="1:5" ht="91.8" customHeight="1" thickBot="1" x14ac:dyDescent="0.35">
      <c r="A26" s="18">
        <v>5</v>
      </c>
      <c r="B26" s="4" t="s">
        <v>25</v>
      </c>
      <c r="C26" s="5">
        <v>1</v>
      </c>
      <c r="D26" s="5"/>
      <c r="E26" s="8"/>
    </row>
    <row r="27" spans="1:5" ht="127.8" customHeight="1" x14ac:dyDescent="0.3">
      <c r="A27" s="27">
        <v>6</v>
      </c>
      <c r="B27" s="30" t="s">
        <v>41</v>
      </c>
      <c r="C27" s="31">
        <v>1</v>
      </c>
      <c r="D27" s="31"/>
      <c r="E27" s="32"/>
    </row>
    <row r="28" spans="1:5" ht="33.6" customHeight="1" thickBot="1" x14ac:dyDescent="0.35">
      <c r="A28" s="9"/>
      <c r="B28" s="10" t="s">
        <v>26</v>
      </c>
      <c r="C28" s="11">
        <f>SUM(C22:C27)</f>
        <v>6</v>
      </c>
      <c r="D28" s="11"/>
      <c r="E28" s="12"/>
    </row>
    <row r="29" spans="1:5" ht="33.6" customHeight="1" thickBot="1" x14ac:dyDescent="0.35">
      <c r="A29" s="23"/>
    </row>
    <row r="30" spans="1:5" ht="33.6" customHeight="1" thickBot="1" x14ac:dyDescent="0.35">
      <c r="A30" s="39" t="s">
        <v>27</v>
      </c>
      <c r="B30" s="40"/>
      <c r="C30" s="40"/>
      <c r="D30" s="40"/>
      <c r="E30" s="41"/>
    </row>
    <row r="31" spans="1:5" ht="33.6" customHeight="1" thickBot="1" x14ac:dyDescent="0.35">
      <c r="A31" s="42" t="s">
        <v>0</v>
      </c>
      <c r="B31" s="42" t="s">
        <v>1</v>
      </c>
      <c r="C31" s="44" t="s">
        <v>2</v>
      </c>
      <c r="D31" s="45"/>
      <c r="E31" s="34" t="s">
        <v>3</v>
      </c>
    </row>
    <row r="32" spans="1:5" ht="33.6" customHeight="1" thickBot="1" x14ac:dyDescent="0.35">
      <c r="A32" s="43"/>
      <c r="B32" s="43"/>
      <c r="C32" s="1" t="s">
        <v>4</v>
      </c>
      <c r="D32" s="1" t="s">
        <v>5</v>
      </c>
      <c r="E32" s="35"/>
    </row>
    <row r="33" spans="1:5" ht="33.6" customHeight="1" thickBot="1" x14ac:dyDescent="0.35">
      <c r="A33" s="13" t="s">
        <v>28</v>
      </c>
      <c r="B33" s="36" t="s">
        <v>29</v>
      </c>
      <c r="C33" s="37"/>
      <c r="D33" s="37"/>
      <c r="E33" s="38"/>
    </row>
    <row r="34" spans="1:5" ht="115.8" customHeight="1" thickBot="1" x14ac:dyDescent="0.35">
      <c r="A34" s="27">
        <v>1</v>
      </c>
      <c r="B34" s="30" t="s">
        <v>42</v>
      </c>
      <c r="C34" s="28">
        <v>1</v>
      </c>
      <c r="D34" s="28"/>
      <c r="E34" s="29"/>
    </row>
    <row r="35" spans="1:5" ht="79.8" customHeight="1" thickBot="1" x14ac:dyDescent="0.35">
      <c r="A35" s="27">
        <v>2</v>
      </c>
      <c r="B35" s="33" t="s">
        <v>43</v>
      </c>
      <c r="C35" s="28">
        <v>1</v>
      </c>
      <c r="D35" s="28"/>
      <c r="E35" s="29"/>
    </row>
    <row r="36" spans="1:5" ht="206.4" customHeight="1" x14ac:dyDescent="0.3">
      <c r="A36" s="27">
        <v>3</v>
      </c>
      <c r="B36" s="33" t="s">
        <v>44</v>
      </c>
      <c r="C36" s="28">
        <v>1</v>
      </c>
      <c r="D36" s="28"/>
      <c r="E36" s="29"/>
    </row>
    <row r="37" spans="1:5" ht="154.19999999999999" customHeight="1" thickBot="1" x14ac:dyDescent="0.35">
      <c r="A37" s="18">
        <v>4</v>
      </c>
      <c r="B37" s="24" t="s">
        <v>30</v>
      </c>
      <c r="C37" s="25">
        <v>1</v>
      </c>
      <c r="D37" s="25"/>
      <c r="E37" s="6"/>
    </row>
    <row r="38" spans="1:5" ht="105.6" customHeight="1" thickBot="1" x14ac:dyDescent="0.35">
      <c r="A38" s="18">
        <v>5</v>
      </c>
      <c r="B38" s="4" t="s">
        <v>31</v>
      </c>
      <c r="C38" s="25">
        <v>1</v>
      </c>
      <c r="D38" s="25"/>
      <c r="E38" s="6"/>
    </row>
    <row r="39" spans="1:5" ht="130.80000000000001" customHeight="1" thickBot="1" x14ac:dyDescent="0.35">
      <c r="A39" s="18">
        <v>6</v>
      </c>
      <c r="B39" s="4" t="s">
        <v>32</v>
      </c>
      <c r="C39" s="25">
        <v>1</v>
      </c>
      <c r="D39" s="25"/>
      <c r="E39" s="6"/>
    </row>
    <row r="40" spans="1:5" ht="33.6" customHeight="1" thickBot="1" x14ac:dyDescent="0.35">
      <c r="A40" s="20"/>
      <c r="B40" s="21" t="s">
        <v>33</v>
      </c>
      <c r="C40" s="11">
        <f>SUM(C34:C39)</f>
        <v>6</v>
      </c>
      <c r="D40" s="11"/>
      <c r="E40" s="12"/>
    </row>
    <row r="41" spans="1:5" ht="50.4" customHeight="1" thickBot="1" x14ac:dyDescent="0.35">
      <c r="A41" s="20"/>
      <c r="B41" s="26" t="s">
        <v>34</v>
      </c>
      <c r="C41" s="11">
        <f>($C$11+$C$20+$C$28+$C$40)/4</f>
        <v>4.75</v>
      </c>
      <c r="D41" s="11"/>
      <c r="E41" s="12"/>
    </row>
  </sheetData>
  <mergeCells count="16">
    <mergeCell ref="A1:A2"/>
    <mergeCell ref="B1:B2"/>
    <mergeCell ref="C1:D1"/>
    <mergeCell ref="E1:E2"/>
    <mergeCell ref="B3:E3"/>
    <mergeCell ref="B5:B6"/>
    <mergeCell ref="B33:E33"/>
    <mergeCell ref="A30:E30"/>
    <mergeCell ref="A31:A32"/>
    <mergeCell ref="B31:B32"/>
    <mergeCell ref="C31:D31"/>
    <mergeCell ref="E31:E32"/>
    <mergeCell ref="A5:A6"/>
    <mergeCell ref="C5:C6"/>
    <mergeCell ref="D5:D6"/>
    <mergeCell ref="E5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Лист1!_Hlk118207034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2025-11-13T10:01:08Z</dcterms:created>
  <dcterms:modified xsi:type="dcterms:W3CDTF">2025-11-13T13:11:55Z</dcterms:modified>
</cp:coreProperties>
</file>